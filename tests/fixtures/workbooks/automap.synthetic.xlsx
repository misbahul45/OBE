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a Kuliah Uji C 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"/>
  <sheetViews>
    <sheetView workbookViewId="0"/>
  </sheetViews>
  <sheetData>
    <row r="1" xml:space="preserve">
      <c r="A1" t="str">
        <v>NO</v>
      </c>
      <c r="B1" t="str">
        <v>NIM</v>
      </c>
      <c r="C1" t="str">
        <v>Nama</v>
      </c>
      <c r="D1" t="str" xml:space="preserve">
        <v xml:space="preserve">UTS (Mi
 dterm) #
 (5 %)</v>
      </c>
      <c r="E1" t="str" xml:space="preserve">
        <v xml:space="preserve">UTS (Mi
 dterm) #
 (5 %)</v>
      </c>
      <c r="F1" t="str" xml:space="preserve">
        <v xml:space="preserve">UTS (Mi
 dterm) #
 (5 %)</v>
      </c>
      <c r="G1" t="str" xml:space="preserve">
        <v xml:space="preserve">UTS (Mi
 dterm) #
 (20 %)</v>
      </c>
      <c r="H1" t="str" xml:space="preserve">
        <v xml:space="preserve">UAS (Fi
 nalterm) # Komp onen Lain # P enulisan Biografi Tokoh Lokal (10 %)</v>
      </c>
      <c r="I1" t="str" xml:space="preserve">
        <v xml:space="preserve">UAS (Fi
 nalterm) #
 Project Based
 (15 %)</v>
      </c>
      <c r="J1" t="str" xml:space="preserve">
        <v xml:space="preserve">UAS (Fi
 nalterm) #
 Project Based
 (20 %)</v>
      </c>
      <c r="K1" t="str" xml:space="preserve">
        <v xml:space="preserve">UAS (Fi
 nalterm) #
 Project Based
 (20 %)</v>
      </c>
      <c r="L1" t="str">
        <v>CPMK-1</v>
      </c>
      <c r="M1" t="str">
        <v>CPMK-2</v>
      </c>
      <c r="N1" t="str">
        <v>CPMK-3</v>
      </c>
      <c r="O1" t="str">
        <v>CPMK-4</v>
      </c>
      <c r="P1" t="str">
        <v>CPMK-5</v>
      </c>
      <c r="Q1" t="str">
        <v>CPL 1</v>
      </c>
      <c r="S1" t="str">
        <v>CPMK</v>
      </c>
      <c r="T1" t="str">
        <v>Poster Diri (25 %)</v>
      </c>
      <c r="U1" t="str" xml:space="preserve">
        <v xml:space="preserve">Roadmap 
 (25 %)</v>
      </c>
      <c r="V1" t="str">
        <v>PjBL (30 %)</v>
      </c>
      <c r="W1" t="str">
        <v>Recognisi Magang UKM (15 %)</v>
      </c>
      <c r="X1" t="str">
        <v>Kehadiran (5 %)</v>
      </c>
      <c r="Y1" t="str">
        <v>Softskill</v>
      </c>
    </row>
    <row r="2">
      <c r="A2">
        <v>1</v>
      </c>
      <c r="B2">
        <v>99000000001</v>
      </c>
      <c r="C2" t="str">
        <v>Mahasiswa Uji 001</v>
      </c>
      <c r="D2">
        <v>65.43</v>
      </c>
      <c r="E2">
        <v>90.59</v>
      </c>
      <c r="F2">
        <v>81.62</v>
      </c>
      <c r="G2">
        <v>85.72</v>
      </c>
      <c r="H2">
        <v>75.36</v>
      </c>
      <c r="I2">
        <v>87.73</v>
      </c>
      <c r="J2">
        <v>83.5</v>
      </c>
      <c r="K2">
        <v>98.53</v>
      </c>
      <c r="L2">
        <f>IFERROR(SUMPRODUCT($D2:$K2,$T$2:$AA$2,INDEX($T$3:$AA$7,MATCH(L$1,$S$3:$S$7,0),0))/SUMPRODUCT($T$2:$AA$2,INDEX($T$3:$AA$7,MATCH(L$1,$S$3:$S$7,0),0)),"")</f>
        <v>86.13</v>
      </c>
      <c r="M2">
        <f>IFERROR(SUMPRODUCT($D2:$K2,$T$2:$AA$2,INDEX($T$3:$AA$7,MATCH(M$1,$S$3:$S$7,0),0))/SUMPRODUCT($T$2:$AA$2,INDEX($T$3:$AA$7,MATCH(M$1,$S$3:$S$7,0),0)),"")</f>
        <v>86.13</v>
      </c>
      <c r="N2">
        <f>IFERROR(SUMPRODUCT($D2:$K2,$T$2:$AA$2,INDEX($T$3:$AA$7,MATCH(N$1,$S$3:$S$7,0),0))/SUMPRODUCT($T$2:$AA$2,INDEX($T$3:$AA$7,MATCH(N$1,$S$3:$S$7,0),0)),"")</f>
        <v>86.13</v>
      </c>
      <c r="O2">
        <f>IFERROR(SUMPRODUCT($D2:$K2,$T$2:$AA$2,INDEX($T$3:$AA$7,MATCH(O$1,$S$3:$S$7,0),0))/SUMPRODUCT($T$2:$AA$2,INDEX($T$3:$AA$7,MATCH(O$1,$S$3:$S$7,0),0)),"")</f>
        <v>86.13</v>
      </c>
      <c r="P2">
        <f>IFERROR(SUMPRODUCT($D2:$K2,$T$2:$AA$2,INDEX($T$3:$AA$7,MATCH(P$1,$S$3:$S$7,0),0))/SUMPRODUCT($T$2:$AA$2,INDEX($T$3:$AA$7,MATCH(P$1,$S$3:$S$7,0),0)),"")</f>
        <v>86.13</v>
      </c>
      <c r="Q2">
        <f>((L2*$T$22)+(M2*$U$22)+(N2*$V$22)+(O2*$W$22)+(P2*$X$22))/$Y$22</f>
        <v>86.13</v>
      </c>
      <c r="T2">
        <v>0.25</v>
      </c>
      <c r="U2">
        <v>0.25</v>
      </c>
      <c r="V2">
        <v>0.3</v>
      </c>
      <c r="W2">
        <v>0.15</v>
      </c>
      <c r="X2">
        <v>0.05</v>
      </c>
      <c r="Y2">
        <v>0</v>
      </c>
      <c r="Z2" t="str">
        <v>Harap diisi</v>
      </c>
    </row>
    <row r="3">
      <c r="A3">
        <v>2</v>
      </c>
      <c r="B3">
        <v>99000000002</v>
      </c>
      <c r="C3" t="str">
        <v>Mahasiswa Uji 002</v>
      </c>
      <c r="D3">
        <v>69.14</v>
      </c>
      <c r="E3">
        <v>63.11</v>
      </c>
      <c r="F3">
        <v>75.43</v>
      </c>
      <c r="G3">
        <v>91.76</v>
      </c>
      <c r="H3">
        <v>75.65</v>
      </c>
      <c r="I3">
        <v>95.01</v>
      </c>
      <c r="J3">
        <v>79.04</v>
      </c>
      <c r="K3">
        <v>64.4</v>
      </c>
      <c r="L3">
        <f>IFERROR(SUMPRODUCT($D3:$K3,$T$2:$AA$2,INDEX($T$3:$AA$7,MATCH(L$1,$S$3:$S$7,0),0))/SUMPRODUCT($T$2:$AA$2,INDEX($T$3:$AA$7,MATCH(L$1,$S$3:$S$7,0),0)),"")</f>
        <v>79.24</v>
      </c>
      <c r="M3">
        <f>IFERROR(SUMPRODUCT($D3:$K3,$T$2:$AA$2,INDEX($T$3:$AA$7,MATCH(M$1,$S$3:$S$7,0),0))/SUMPRODUCT($T$2:$AA$2,INDEX($T$3:$AA$7,MATCH(M$1,$S$3:$S$7,0),0)),"")</f>
        <v>79.24</v>
      </c>
      <c r="N3">
        <f>IFERROR(SUMPRODUCT($D3:$K3,$T$2:$AA$2,INDEX($T$3:$AA$7,MATCH(N$1,$S$3:$S$7,0),0))/SUMPRODUCT($T$2:$AA$2,INDEX($T$3:$AA$7,MATCH(N$1,$S$3:$S$7,0),0)),"")</f>
        <v>79.24</v>
      </c>
      <c r="O3">
        <f>IFERROR(SUMPRODUCT($D3:$K3,$T$2:$AA$2,INDEX($T$3:$AA$7,MATCH(O$1,$S$3:$S$7,0),0))/SUMPRODUCT($T$2:$AA$2,INDEX($T$3:$AA$7,MATCH(O$1,$S$3:$S$7,0),0)),"")</f>
        <v>79.24</v>
      </c>
      <c r="P3">
        <f>IFERROR(SUMPRODUCT($D3:$K3,$T$2:$AA$2,INDEX($T$3:$AA$7,MATCH(P$1,$S$3:$S$7,0),0))/SUMPRODUCT($T$2:$AA$2,INDEX($T$3:$AA$7,MATCH(P$1,$S$3:$S$7,0),0)),"")</f>
        <v>79.24</v>
      </c>
      <c r="Q3">
        <f>((L3*$T$22)+(M3*$U$22)+(N3*$V$22)+(O3*$W$22)+(P3*$X$22))/$Y$22</f>
        <v>79.24</v>
      </c>
      <c r="S3" t="str">
        <v>CPMK-1</v>
      </c>
      <c r="T3">
        <v>1</v>
      </c>
      <c r="U3">
        <v>1</v>
      </c>
      <c r="V3">
        <v>1</v>
      </c>
      <c r="W3">
        <v>1</v>
      </c>
      <c r="X3">
        <v>1</v>
      </c>
    </row>
    <row r="4">
      <c r="A4">
        <v>3</v>
      </c>
      <c r="B4">
        <v>99000000003</v>
      </c>
      <c r="C4" t="str">
        <v>Mahasiswa Uji 003</v>
      </c>
      <c r="D4">
        <v>62.44</v>
      </c>
      <c r="E4">
        <v>76.71</v>
      </c>
      <c r="F4">
        <v>61.18</v>
      </c>
      <c r="G4">
        <v>67.82</v>
      </c>
      <c r="H4">
        <v>90.42</v>
      </c>
      <c r="I4">
        <v>70.85</v>
      </c>
      <c r="J4">
        <v>62.27</v>
      </c>
      <c r="K4">
        <v>85.89</v>
      </c>
      <c r="L4">
        <f>IFERROR(SUMPRODUCT($D4:$K4,$T$2:$AA$2,INDEX($T$3:$AA$7,MATCH(L$1,$S$3:$S$7,0),0))/SUMPRODUCT($T$2:$AA$2,INDEX($T$3:$AA$7,MATCH(L$1,$S$3:$S$7,0),0)),"")</f>
        <v>72.88</v>
      </c>
      <c r="M4">
        <f>IFERROR(SUMPRODUCT($D4:$K4,$T$2:$AA$2,INDEX($T$3:$AA$7,MATCH(M$1,$S$3:$S$7,0),0))/SUMPRODUCT($T$2:$AA$2,INDEX($T$3:$AA$7,MATCH(M$1,$S$3:$S$7,0),0)),"")</f>
        <v>72.88</v>
      </c>
      <c r="N4">
        <f>IFERROR(SUMPRODUCT($D4:$K4,$T$2:$AA$2,INDEX($T$3:$AA$7,MATCH(N$1,$S$3:$S$7,0),0))/SUMPRODUCT($T$2:$AA$2,INDEX($T$3:$AA$7,MATCH(N$1,$S$3:$S$7,0),0)),"")</f>
        <v>72.88</v>
      </c>
      <c r="O4">
        <f>IFERROR(SUMPRODUCT($D4:$K4,$T$2:$AA$2,INDEX($T$3:$AA$7,MATCH(O$1,$S$3:$S$7,0),0))/SUMPRODUCT($T$2:$AA$2,INDEX($T$3:$AA$7,MATCH(O$1,$S$3:$S$7,0),0)),"")</f>
        <v>72.88</v>
      </c>
      <c r="P4">
        <f>IFERROR(SUMPRODUCT($D4:$K4,$T$2:$AA$2,INDEX($T$3:$AA$7,MATCH(P$1,$S$3:$S$7,0),0))/SUMPRODUCT($T$2:$AA$2,INDEX($T$3:$AA$7,MATCH(P$1,$S$3:$S$7,0),0)),"")</f>
        <v>72.88</v>
      </c>
      <c r="Q4">
        <f>((L4*$T$22)+(M4*$U$22)+(N4*$V$22)+(O4*$W$22)+(P4*$X$22))/$Y$22</f>
        <v>72.88</v>
      </c>
      <c r="S4" t="str">
        <v>CPMK-2</v>
      </c>
      <c r="T4">
        <v>1</v>
      </c>
      <c r="U4">
        <v>1</v>
      </c>
      <c r="V4">
        <v>1</v>
      </c>
      <c r="W4">
        <v>1</v>
      </c>
      <c r="X4">
        <v>1</v>
      </c>
    </row>
    <row r="5">
      <c r="A5">
        <v>4</v>
      </c>
      <c r="B5">
        <v>99000000004</v>
      </c>
      <c r="C5" t="str">
        <v>Mahasiswa Uji 004</v>
      </c>
      <c r="D5">
        <v>61.69</v>
      </c>
      <c r="E5">
        <v>83.61</v>
      </c>
      <c r="F5">
        <v>62.11</v>
      </c>
      <c r="G5">
        <v>77.43</v>
      </c>
      <c r="H5">
        <v>94.41</v>
      </c>
      <c r="I5">
        <v>77.41</v>
      </c>
      <c r="J5">
        <v>89.85</v>
      </c>
      <c r="K5">
        <v>96.82</v>
      </c>
      <c r="L5">
        <f>IFERROR(SUMPRODUCT($D5:$K5,$T$2:$AA$2,INDEX($T$3:$AA$7,MATCH(L$1,$S$3:$S$7,0),0))/SUMPRODUCT($T$2:$AA$2,INDEX($T$3:$AA$7,MATCH(L$1,$S$3:$S$7,0),0)),"")</f>
        <v>84.24</v>
      </c>
      <c r="M5">
        <f>IFERROR(SUMPRODUCT($D5:$K5,$T$2:$AA$2,INDEX($T$3:$AA$7,MATCH(M$1,$S$3:$S$7,0),0))/SUMPRODUCT($T$2:$AA$2,INDEX($T$3:$AA$7,MATCH(M$1,$S$3:$S$7,0),0)),"")</f>
        <v>84.24</v>
      </c>
      <c r="N5">
        <f>IFERROR(SUMPRODUCT($D5:$K5,$T$2:$AA$2,INDEX($T$3:$AA$7,MATCH(N$1,$S$3:$S$7,0),0))/SUMPRODUCT($T$2:$AA$2,INDEX($T$3:$AA$7,MATCH(N$1,$S$3:$S$7,0),0)),"")</f>
        <v>84.24</v>
      </c>
      <c r="O5">
        <f>IFERROR(SUMPRODUCT($D5:$K5,$T$2:$AA$2,INDEX($T$3:$AA$7,MATCH(O$1,$S$3:$S$7,0),0))/SUMPRODUCT($T$2:$AA$2,INDEX($T$3:$AA$7,MATCH(O$1,$S$3:$S$7,0),0)),"")</f>
        <v>84.24</v>
      </c>
      <c r="P5">
        <f>IFERROR(SUMPRODUCT($D5:$K5,$T$2:$AA$2,INDEX($T$3:$AA$7,MATCH(P$1,$S$3:$S$7,0),0))/SUMPRODUCT($T$2:$AA$2,INDEX($T$3:$AA$7,MATCH(P$1,$S$3:$S$7,0),0)),"")</f>
        <v>84.24</v>
      </c>
      <c r="Q5">
        <f>((L5*$T$22)+(M5*$U$22)+(N5*$V$22)+(O5*$W$22)+(P5*$X$22))/$Y$22</f>
        <v>84.24</v>
      </c>
      <c r="S5" t="str">
        <v>CPMK-3</v>
      </c>
      <c r="T5">
        <v>1</v>
      </c>
      <c r="U5">
        <v>1</v>
      </c>
      <c r="V5">
        <v>1</v>
      </c>
      <c r="W5">
        <v>1</v>
      </c>
      <c r="X5">
        <v>1</v>
      </c>
    </row>
    <row r="6">
      <c r="A6">
        <v>5</v>
      </c>
      <c r="B6">
        <v>99000000005</v>
      </c>
      <c r="C6" t="str">
        <v>Mahasiswa Uji 005</v>
      </c>
      <c r="D6">
        <v>85.09</v>
      </c>
      <c r="E6">
        <v>62.73</v>
      </c>
      <c r="F6">
        <v>66.34</v>
      </c>
      <c r="G6">
        <v>65.83</v>
      </c>
      <c r="H6">
        <v>80.63</v>
      </c>
      <c r="I6">
        <v>60.04</v>
      </c>
      <c r="J6">
        <v>85.7</v>
      </c>
      <c r="K6">
        <v>64.91</v>
      </c>
      <c r="L6">
        <f>IFERROR(SUMPRODUCT($D6:$K6,$T$2:$AA$2,INDEX($T$3:$AA$7,MATCH(L$1,$S$3:$S$7,0),0))/SUMPRODUCT($T$2:$AA$2,INDEX($T$3:$AA$7,MATCH(L$1,$S$3:$S$7,0),0)),"")</f>
        <v>71.07</v>
      </c>
      <c r="M6">
        <f>IFERROR(SUMPRODUCT($D6:$K6,$T$2:$AA$2,INDEX($T$3:$AA$7,MATCH(M$1,$S$3:$S$7,0),0))/SUMPRODUCT($T$2:$AA$2,INDEX($T$3:$AA$7,MATCH(M$1,$S$3:$S$7,0),0)),"")</f>
        <v>71.07</v>
      </c>
      <c r="N6">
        <f>IFERROR(SUMPRODUCT($D6:$K6,$T$2:$AA$2,INDEX($T$3:$AA$7,MATCH(N$1,$S$3:$S$7,0),0))/SUMPRODUCT($T$2:$AA$2,INDEX($T$3:$AA$7,MATCH(N$1,$S$3:$S$7,0),0)),"")</f>
        <v>71.07</v>
      </c>
      <c r="O6">
        <f>IFERROR(SUMPRODUCT($D6:$K6,$T$2:$AA$2,INDEX($T$3:$AA$7,MATCH(O$1,$S$3:$S$7,0),0))/SUMPRODUCT($T$2:$AA$2,INDEX($T$3:$AA$7,MATCH(O$1,$S$3:$S$7,0),0)),"")</f>
        <v>71.07</v>
      </c>
      <c r="P6">
        <f>IFERROR(SUMPRODUCT($D6:$K6,$T$2:$AA$2,INDEX($T$3:$AA$7,MATCH(P$1,$S$3:$S$7,0),0))/SUMPRODUCT($T$2:$AA$2,INDEX($T$3:$AA$7,MATCH(P$1,$S$3:$S$7,0),0)),"")</f>
        <v>71.07</v>
      </c>
      <c r="Q6">
        <f>((L6*$T$22)+(M6*$U$22)+(N6*$V$22)+(O6*$W$22)+(P6*$X$22))/$Y$22</f>
        <v>71.07</v>
      </c>
      <c r="S6" t="str">
        <v>CPMK-4</v>
      </c>
      <c r="T6">
        <v>1</v>
      </c>
      <c r="U6">
        <v>1</v>
      </c>
      <c r="V6">
        <v>1</v>
      </c>
      <c r="W6">
        <v>1</v>
      </c>
      <c r="X6">
        <v>1</v>
      </c>
    </row>
    <row r="7">
      <c r="A7">
        <v>6</v>
      </c>
      <c r="B7">
        <v>99000000006</v>
      </c>
      <c r="C7" t="str">
        <v>Mahasiswa Uji 006</v>
      </c>
      <c r="D7">
        <v>66.94</v>
      </c>
      <c r="E7">
        <v>61.64</v>
      </c>
      <c r="F7">
        <v>98.32</v>
      </c>
      <c r="G7">
        <v>77.29</v>
      </c>
      <c r="H7">
        <v>65.85</v>
      </c>
      <c r="I7">
        <v>90.79</v>
      </c>
      <c r="J7">
        <v>73.47</v>
      </c>
      <c r="K7">
        <v>90.11</v>
      </c>
      <c r="L7">
        <f>IFERROR(SUMPRODUCT($D7:$K7,$T$2:$AA$2,INDEX($T$3:$AA$7,MATCH(L$1,$S$3:$S$7,0),0))/SUMPRODUCT($T$2:$AA$2,INDEX($T$3:$AA$7,MATCH(L$1,$S$3:$S$7,0),0)),"")</f>
        <v>79.72</v>
      </c>
      <c r="M7">
        <f>IFERROR(SUMPRODUCT($D7:$K7,$T$2:$AA$2,INDEX($T$3:$AA$7,MATCH(M$1,$S$3:$S$7,0),0))/SUMPRODUCT($T$2:$AA$2,INDEX($T$3:$AA$7,MATCH(M$1,$S$3:$S$7,0),0)),"")</f>
        <v>79.72</v>
      </c>
      <c r="N7">
        <f>IFERROR(SUMPRODUCT($D7:$K7,$T$2:$AA$2,INDEX($T$3:$AA$7,MATCH(N$1,$S$3:$S$7,0),0))/SUMPRODUCT($T$2:$AA$2,INDEX($T$3:$AA$7,MATCH(N$1,$S$3:$S$7,0),0)),"")</f>
        <v>79.72</v>
      </c>
      <c r="O7">
        <f>IFERROR(SUMPRODUCT($D7:$K7,$T$2:$AA$2,INDEX($T$3:$AA$7,MATCH(O$1,$S$3:$S$7,0),0))/SUMPRODUCT($T$2:$AA$2,INDEX($T$3:$AA$7,MATCH(O$1,$S$3:$S$7,0),0)),"")</f>
        <v>79.72</v>
      </c>
      <c r="P7">
        <f>IFERROR(SUMPRODUCT($D7:$K7,$T$2:$AA$2,INDEX($T$3:$AA$7,MATCH(P$1,$S$3:$S$7,0),0))/SUMPRODUCT($T$2:$AA$2,INDEX($T$3:$AA$7,MATCH(P$1,$S$3:$S$7,0),0)),"")</f>
        <v>79.72</v>
      </c>
      <c r="Q7">
        <f>((L7*$T$22)+(M7*$U$22)+(N7*$V$22)+(O7*$W$22)+(P7*$X$22))/$Y$22</f>
        <v>79.72</v>
      </c>
      <c r="S7" t="str">
        <v>CPMK-5</v>
      </c>
      <c r="T7">
        <v>1</v>
      </c>
      <c r="U7">
        <v>1</v>
      </c>
      <c r="V7">
        <v>1</v>
      </c>
      <c r="W7">
        <v>1</v>
      </c>
      <c r="X7">
        <v>1</v>
      </c>
    </row>
    <row r="8">
      <c r="A8">
        <v>7</v>
      </c>
      <c r="B8">
        <v>99000000007</v>
      </c>
      <c r="C8" t="str">
        <v>Mahasiswa Uji 007</v>
      </c>
      <c r="D8">
        <v>68.61</v>
      </c>
      <c r="E8">
        <v>78.99</v>
      </c>
      <c r="F8">
        <v>97.19</v>
      </c>
      <c r="G8">
        <v>65.77</v>
      </c>
      <c r="H8">
        <v>71.14</v>
      </c>
      <c r="I8">
        <v>84.19</v>
      </c>
      <c r="J8">
        <v>97.99</v>
      </c>
      <c r="K8">
        <v>77.45</v>
      </c>
      <c r="L8">
        <f>IFERROR(SUMPRODUCT($D8:$K8,$T$2:$AA$2,INDEX($T$3:$AA$7,MATCH(L$1,$S$3:$S$7,0),0))/SUMPRODUCT($T$2:$AA$2,INDEX($T$3:$AA$7,MATCH(L$1,$S$3:$S$7,0),0)),"")</f>
        <v>80.22</v>
      </c>
      <c r="M8">
        <f>IFERROR(SUMPRODUCT($D8:$K8,$T$2:$AA$2,INDEX($T$3:$AA$7,MATCH(M$1,$S$3:$S$7,0),0))/SUMPRODUCT($T$2:$AA$2,INDEX($T$3:$AA$7,MATCH(M$1,$S$3:$S$7,0),0)),"")</f>
        <v>80.22</v>
      </c>
      <c r="N8">
        <f>IFERROR(SUMPRODUCT($D8:$K8,$T$2:$AA$2,INDEX($T$3:$AA$7,MATCH(N$1,$S$3:$S$7,0),0))/SUMPRODUCT($T$2:$AA$2,INDEX($T$3:$AA$7,MATCH(N$1,$S$3:$S$7,0),0)),"")</f>
        <v>80.22</v>
      </c>
      <c r="O8">
        <f>IFERROR(SUMPRODUCT($D8:$K8,$T$2:$AA$2,INDEX($T$3:$AA$7,MATCH(O$1,$S$3:$S$7,0),0))/SUMPRODUCT($T$2:$AA$2,INDEX($T$3:$AA$7,MATCH(O$1,$S$3:$S$7,0),0)),"")</f>
        <v>80.22</v>
      </c>
      <c r="P8">
        <f>IFERROR(SUMPRODUCT($D8:$K8,$T$2:$AA$2,INDEX($T$3:$AA$7,MATCH(P$1,$S$3:$S$7,0),0))/SUMPRODUCT($T$2:$AA$2,INDEX($T$3:$AA$7,MATCH(P$1,$S$3:$S$7,0),0)),"")</f>
        <v>80.22</v>
      </c>
      <c r="Q8">
        <f>((L8*$T$22)+(M8*$U$22)+(N8*$V$22)+(O8*$W$22)+(P8*$X$22))/$Y$22</f>
        <v>80.22</v>
      </c>
    </row>
    <row r="9">
      <c r="A9">
        <v>8</v>
      </c>
      <c r="B9">
        <v>99000000008</v>
      </c>
      <c r="C9" t="str">
        <v>Mahasiswa Uji 008</v>
      </c>
      <c r="D9">
        <v>74.69</v>
      </c>
      <c r="E9">
        <v>90.49</v>
      </c>
      <c r="F9">
        <v>64.78</v>
      </c>
      <c r="G9">
        <v>93.28</v>
      </c>
      <c r="H9">
        <v>85.09</v>
      </c>
      <c r="I9">
        <v>82.97</v>
      </c>
      <c r="J9">
        <v>78.02</v>
      </c>
      <c r="K9">
        <v>95.07</v>
      </c>
      <c r="L9">
        <f>IFERROR(SUMPRODUCT($D9:$K9,$T$2:$AA$2,INDEX($T$3:$AA$7,MATCH(L$1,$S$3:$S$7,0),0))/SUMPRODUCT($T$2:$AA$2,INDEX($T$3:$AA$7,MATCH(L$1,$S$3:$S$7,0),0)),"")</f>
        <v>85.73</v>
      </c>
      <c r="M9">
        <f>IFERROR(SUMPRODUCT($D9:$K9,$T$2:$AA$2,INDEX($T$3:$AA$7,MATCH(M$1,$S$3:$S$7,0),0))/SUMPRODUCT($T$2:$AA$2,INDEX($T$3:$AA$7,MATCH(M$1,$S$3:$S$7,0),0)),"")</f>
        <v>85.73</v>
      </c>
      <c r="N9">
        <f>IFERROR(SUMPRODUCT($D9:$K9,$T$2:$AA$2,INDEX($T$3:$AA$7,MATCH(N$1,$S$3:$S$7,0),0))/SUMPRODUCT($T$2:$AA$2,INDEX($T$3:$AA$7,MATCH(N$1,$S$3:$S$7,0),0)),"")</f>
        <v>85.73</v>
      </c>
      <c r="O9">
        <f>IFERROR(SUMPRODUCT($D9:$K9,$T$2:$AA$2,INDEX($T$3:$AA$7,MATCH(O$1,$S$3:$S$7,0),0))/SUMPRODUCT($T$2:$AA$2,INDEX($T$3:$AA$7,MATCH(O$1,$S$3:$S$7,0),0)),"")</f>
        <v>85.73</v>
      </c>
      <c r="P9">
        <f>IFERROR(SUMPRODUCT($D9:$K9,$T$2:$AA$2,INDEX($T$3:$AA$7,MATCH(P$1,$S$3:$S$7,0),0))/SUMPRODUCT($T$2:$AA$2,INDEX($T$3:$AA$7,MATCH(P$1,$S$3:$S$7,0),0)),"")</f>
        <v>85.73</v>
      </c>
      <c r="Q9">
        <f>((L9*$T$22)+(M9*$U$22)+(N9*$V$22)+(O9*$W$22)+(P9*$X$22))/$Y$22</f>
        <v>85.73</v>
      </c>
      <c r="S9" t="str">
        <v>Threshold Nilai Mahasiswa</v>
      </c>
      <c r="T9">
        <v>62</v>
      </c>
      <c r="V9" t="str">
        <v>nilai BC</v>
      </c>
    </row>
    <row r="10">
      <c r="A10">
        <v>9</v>
      </c>
      <c r="B10">
        <v>99000000009</v>
      </c>
      <c r="C10" t="str">
        <v>Mahasiswa Uji 009</v>
      </c>
      <c r="D10">
        <v>74.67</v>
      </c>
      <c r="E10">
        <v>68.79</v>
      </c>
      <c r="F10">
        <v>66.39</v>
      </c>
      <c r="G10">
        <v>73.47</v>
      </c>
      <c r="H10">
        <v>85.84</v>
      </c>
      <c r="I10">
        <v>85.74</v>
      </c>
      <c r="J10">
        <v>63.7</v>
      </c>
      <c r="K10">
        <v>64.38</v>
      </c>
      <c r="L10">
        <f>IFERROR(SUMPRODUCT($D10:$K10,$T$2:$AA$2,INDEX($T$3:$AA$7,MATCH(L$1,$S$3:$S$7,0),0))/SUMPRODUCT($T$2:$AA$2,INDEX($T$3:$AA$7,MATCH(L$1,$S$3:$S$7,0),0)),"")</f>
        <v>72.25</v>
      </c>
      <c r="M10">
        <f>IFERROR(SUMPRODUCT($D10:$K10,$T$2:$AA$2,INDEX($T$3:$AA$7,MATCH(M$1,$S$3:$S$7,0),0))/SUMPRODUCT($T$2:$AA$2,INDEX($T$3:$AA$7,MATCH(M$1,$S$3:$S$7,0),0)),"")</f>
        <v>72.25</v>
      </c>
      <c r="N10">
        <f>IFERROR(SUMPRODUCT($D10:$K10,$T$2:$AA$2,INDEX($T$3:$AA$7,MATCH(N$1,$S$3:$S$7,0),0))/SUMPRODUCT($T$2:$AA$2,INDEX($T$3:$AA$7,MATCH(N$1,$S$3:$S$7,0),0)),"")</f>
        <v>72.25</v>
      </c>
      <c r="O10">
        <f>IFERROR(SUMPRODUCT($D10:$K10,$T$2:$AA$2,INDEX($T$3:$AA$7,MATCH(O$1,$S$3:$S$7,0),0))/SUMPRODUCT($T$2:$AA$2,INDEX($T$3:$AA$7,MATCH(O$1,$S$3:$S$7,0),0)),"")</f>
        <v>72.25</v>
      </c>
      <c r="P10">
        <f>IFERROR(SUMPRODUCT($D10:$K10,$T$2:$AA$2,INDEX($T$3:$AA$7,MATCH(P$1,$S$3:$S$7,0),0))/SUMPRODUCT($T$2:$AA$2,INDEX($T$3:$AA$7,MATCH(P$1,$S$3:$S$7,0),0)),"")</f>
        <v>72.25</v>
      </c>
      <c r="Q10">
        <f>((L10*$T$22)+(M10*$U$22)+(N10*$V$22)+(O10*$W$22)+(P10*$X$22))/$Y$22</f>
        <v>72.25</v>
      </c>
      <c r="S10" t="str">
        <v>Threshold Nilai Capaian %</v>
      </c>
      <c r="T10">
        <v>75</v>
      </c>
      <c r="V10" t="str">
        <v>jumlah mhs min BC</v>
      </c>
      <c r="X10">
        <v>0.25</v>
      </c>
      <c r="Y10">
        <v>0.25</v>
      </c>
      <c r="Z10">
        <v>0.3</v>
      </c>
      <c r="AA10">
        <v>0.15</v>
      </c>
      <c r="AB10">
        <v>0.05</v>
      </c>
    </row>
    <row r="11">
      <c r="A11">
        <v>10</v>
      </c>
      <c r="B11">
        <v>99000000010</v>
      </c>
      <c r="C11" t="str">
        <v>Mahasiswa Uji 010</v>
      </c>
      <c r="D11">
        <v>91.03</v>
      </c>
      <c r="E11">
        <v>64.98</v>
      </c>
      <c r="F11">
        <v>89.07</v>
      </c>
      <c r="G11">
        <v>86.33</v>
      </c>
      <c r="H11">
        <v>83.73</v>
      </c>
      <c r="I11">
        <v>69.97</v>
      </c>
      <c r="J11">
        <v>84.37</v>
      </c>
      <c r="K11">
        <v>87.67</v>
      </c>
      <c r="L11">
        <f>IFERROR(SUMPRODUCT($D11:$K11,$T$2:$AA$2,INDEX($T$3:$AA$7,MATCH(L$1,$S$3:$S$7,0),0))/SUMPRODUCT($T$2:$AA$2,INDEX($T$3:$AA$7,MATCH(L$1,$S$3:$S$7,0),0)),"")</f>
        <v>82.8</v>
      </c>
      <c r="M11">
        <f>IFERROR(SUMPRODUCT($D11:$K11,$T$2:$AA$2,INDEX($T$3:$AA$7,MATCH(M$1,$S$3:$S$7,0),0))/SUMPRODUCT($T$2:$AA$2,INDEX($T$3:$AA$7,MATCH(M$1,$S$3:$S$7,0),0)),"")</f>
        <v>82.8</v>
      </c>
      <c r="N11">
        <f>IFERROR(SUMPRODUCT($D11:$K11,$T$2:$AA$2,INDEX($T$3:$AA$7,MATCH(N$1,$S$3:$S$7,0),0))/SUMPRODUCT($T$2:$AA$2,INDEX($T$3:$AA$7,MATCH(N$1,$S$3:$S$7,0),0)),"")</f>
        <v>82.8</v>
      </c>
      <c r="O11">
        <f>IFERROR(SUMPRODUCT($D11:$K11,$T$2:$AA$2,INDEX($T$3:$AA$7,MATCH(O$1,$S$3:$S$7,0),0))/SUMPRODUCT($T$2:$AA$2,INDEX($T$3:$AA$7,MATCH(O$1,$S$3:$S$7,0),0)),"")</f>
        <v>82.8</v>
      </c>
      <c r="P11">
        <f>IFERROR(SUMPRODUCT($D11:$K11,$T$2:$AA$2,INDEX($T$3:$AA$7,MATCH(P$1,$S$3:$S$7,0),0))/SUMPRODUCT($T$2:$AA$2,INDEX($T$3:$AA$7,MATCH(P$1,$S$3:$S$7,0),0)),"")</f>
        <v>82.8</v>
      </c>
      <c r="Q11">
        <f>((L11*$T$22)+(M11*$U$22)+(N11*$V$22)+(O11*$W$22)+(P11*$X$22))/$Y$22</f>
        <v>82.8</v>
      </c>
      <c r="S11" t="str">
        <v>Total Mahasiswa</v>
      </c>
      <c r="T11">
        <v>15</v>
      </c>
    </row>
    <row r="12">
      <c r="A12">
        <v>11</v>
      </c>
      <c r="B12">
        <v>99000000011</v>
      </c>
      <c r="C12" t="str">
        <v>Mahasiswa Uji 011</v>
      </c>
      <c r="D12">
        <v>87.91</v>
      </c>
      <c r="E12">
        <v>93.33</v>
      </c>
      <c r="F12">
        <v>67.62</v>
      </c>
      <c r="G12">
        <v>95.4</v>
      </c>
      <c r="H12">
        <v>93.34</v>
      </c>
      <c r="I12">
        <v>85.21</v>
      </c>
      <c r="J12">
        <v>84.78</v>
      </c>
      <c r="K12">
        <v>82.27</v>
      </c>
      <c r="L12">
        <f>IFERROR(SUMPRODUCT($D12:$K12,$T$2:$AA$2,INDEX($T$3:$AA$7,MATCH(L$1,$S$3:$S$7,0),0))/SUMPRODUCT($T$2:$AA$2,INDEX($T$3:$AA$7,MATCH(L$1,$S$3:$S$7,0),0)),"")</f>
        <v>87.05</v>
      </c>
      <c r="M12">
        <f>IFERROR(SUMPRODUCT($D12:$K12,$T$2:$AA$2,INDEX($T$3:$AA$7,MATCH(M$1,$S$3:$S$7,0),0))/SUMPRODUCT($T$2:$AA$2,INDEX($T$3:$AA$7,MATCH(M$1,$S$3:$S$7,0),0)),"")</f>
        <v>87.05</v>
      </c>
      <c r="N12">
        <f>IFERROR(SUMPRODUCT($D12:$K12,$T$2:$AA$2,INDEX($T$3:$AA$7,MATCH(N$1,$S$3:$S$7,0),0))/SUMPRODUCT($T$2:$AA$2,INDEX($T$3:$AA$7,MATCH(N$1,$S$3:$S$7,0),0)),"")</f>
        <v>87.05</v>
      </c>
      <c r="O12">
        <f>IFERROR(SUMPRODUCT($D12:$K12,$T$2:$AA$2,INDEX($T$3:$AA$7,MATCH(O$1,$S$3:$S$7,0),0))/SUMPRODUCT($T$2:$AA$2,INDEX($T$3:$AA$7,MATCH(O$1,$S$3:$S$7,0),0)),"")</f>
        <v>87.05</v>
      </c>
      <c r="P12">
        <f>IFERROR(SUMPRODUCT($D12:$K12,$T$2:$AA$2,INDEX($T$3:$AA$7,MATCH(P$1,$S$3:$S$7,0),0))/SUMPRODUCT($T$2:$AA$2,INDEX($T$3:$AA$7,MATCH(P$1,$S$3:$S$7,0),0)),"")</f>
        <v>87.05</v>
      </c>
      <c r="Q12">
        <f>((L12*$T$22)+(M12*$U$22)+(N12*$V$22)+(O12*$W$22)+(P12*$X$22))/$Y$22</f>
        <v>87.05</v>
      </c>
    </row>
    <row r="13">
      <c r="A13">
        <v>12</v>
      </c>
      <c r="B13">
        <v>99000000012</v>
      </c>
      <c r="C13" t="str">
        <v>Mahasiswa Uji 012</v>
      </c>
      <c r="D13">
        <v>67.82</v>
      </c>
      <c r="E13">
        <v>74</v>
      </c>
      <c r="F13">
        <v>80.07</v>
      </c>
      <c r="G13">
        <v>66.73</v>
      </c>
      <c r="H13">
        <v>81.83</v>
      </c>
      <c r="I13">
        <v>98.41</v>
      </c>
      <c r="J13">
        <v>92.55</v>
      </c>
      <c r="K13">
        <v>81.96</v>
      </c>
      <c r="L13">
        <f>IFERROR(SUMPRODUCT($D13:$K13,$T$2:$AA$2,INDEX($T$3:$AA$7,MATCH(L$1,$S$3:$S$7,0),0))/SUMPRODUCT($T$2:$AA$2,INDEX($T$3:$AA$7,MATCH(L$1,$S$3:$S$7,0),0)),"")</f>
        <v>82.29</v>
      </c>
      <c r="M13">
        <f>IFERROR(SUMPRODUCT($D13:$K13,$T$2:$AA$2,INDEX($T$3:$AA$7,MATCH(M$1,$S$3:$S$7,0),0))/SUMPRODUCT($T$2:$AA$2,INDEX($T$3:$AA$7,MATCH(M$1,$S$3:$S$7,0),0)),"")</f>
        <v>82.29</v>
      </c>
      <c r="N13">
        <f>IFERROR(SUMPRODUCT($D13:$K13,$T$2:$AA$2,INDEX($T$3:$AA$7,MATCH(N$1,$S$3:$S$7,0),0))/SUMPRODUCT($T$2:$AA$2,INDEX($T$3:$AA$7,MATCH(N$1,$S$3:$S$7,0),0)),"")</f>
        <v>82.29</v>
      </c>
      <c r="O13">
        <f>IFERROR(SUMPRODUCT($D13:$K13,$T$2:$AA$2,INDEX($T$3:$AA$7,MATCH(O$1,$S$3:$S$7,0),0))/SUMPRODUCT($T$2:$AA$2,INDEX($T$3:$AA$7,MATCH(O$1,$S$3:$S$7,0),0)),"")</f>
        <v>82.29</v>
      </c>
      <c r="P13">
        <f>IFERROR(SUMPRODUCT($D13:$K13,$T$2:$AA$2,INDEX($T$3:$AA$7,MATCH(P$1,$S$3:$S$7,0),0))/SUMPRODUCT($T$2:$AA$2,INDEX($T$3:$AA$7,MATCH(P$1,$S$3:$S$7,0),0)),"")</f>
        <v>82.29</v>
      </c>
      <c r="Q13">
        <f>((L13*$T$22)+(M13*$U$22)+(N13*$V$22)+(O13*$W$22)+(P13*$X$22))/$Y$22</f>
        <v>82.29</v>
      </c>
      <c r="T13" t="str">
        <v>Jumlah Mahasiswa Tercapai</v>
      </c>
      <c r="U13" t="str">
        <v>Capaian (%)</v>
      </c>
      <c r="V13" t="str">
        <v>Hasil Akhir</v>
      </c>
    </row>
    <row r="14">
      <c r="A14">
        <v>13</v>
      </c>
      <c r="B14">
        <v>99000000013</v>
      </c>
      <c r="C14" t="str">
        <v>Mahasiswa Uji 013</v>
      </c>
      <c r="D14">
        <v>66.34</v>
      </c>
      <c r="E14">
        <v>66.83</v>
      </c>
      <c r="F14">
        <v>86.7</v>
      </c>
      <c r="G14">
        <v>99.68</v>
      </c>
      <c r="H14">
        <v>63.04</v>
      </c>
      <c r="I14">
        <v>75.37</v>
      </c>
      <c r="J14">
        <v>85.64</v>
      </c>
      <c r="K14">
        <v>79.4</v>
      </c>
      <c r="L14">
        <f>IFERROR(SUMPRODUCT($D14:$K14,$T$2:$AA$2,INDEX($T$3:$AA$7,MATCH(L$1,$S$3:$S$7,0),0))/SUMPRODUCT($T$2:$AA$2,INDEX($T$3:$AA$7,MATCH(L$1,$S$3:$S$7,0),0)),"")</f>
        <v>81.55</v>
      </c>
      <c r="M14">
        <f>IFERROR(SUMPRODUCT($D14:$K14,$T$2:$AA$2,INDEX($T$3:$AA$7,MATCH(M$1,$S$3:$S$7,0),0))/SUMPRODUCT($T$2:$AA$2,INDEX($T$3:$AA$7,MATCH(M$1,$S$3:$S$7,0),0)),"")</f>
        <v>81.55</v>
      </c>
      <c r="N14">
        <f>IFERROR(SUMPRODUCT($D14:$K14,$T$2:$AA$2,INDEX($T$3:$AA$7,MATCH(N$1,$S$3:$S$7,0),0))/SUMPRODUCT($T$2:$AA$2,INDEX($T$3:$AA$7,MATCH(N$1,$S$3:$S$7,0),0)),"")</f>
        <v>81.55</v>
      </c>
      <c r="O14">
        <f>IFERROR(SUMPRODUCT($D14:$K14,$T$2:$AA$2,INDEX($T$3:$AA$7,MATCH(O$1,$S$3:$S$7,0),0))/SUMPRODUCT($T$2:$AA$2,INDEX($T$3:$AA$7,MATCH(O$1,$S$3:$S$7,0),0)),"")</f>
        <v>81.55</v>
      </c>
      <c r="P14">
        <f>IFERROR(SUMPRODUCT($D14:$K14,$T$2:$AA$2,INDEX($T$3:$AA$7,MATCH(P$1,$S$3:$S$7,0),0))/SUMPRODUCT($T$2:$AA$2,INDEX($T$3:$AA$7,MATCH(P$1,$S$3:$S$7,0),0)),"")</f>
        <v>81.55</v>
      </c>
      <c r="Q14">
        <f>((L14*$T$22)+(M14*$U$22)+(N14*$V$22)+(O14*$W$22)+(P14*$X$22))/$Y$22</f>
        <v>81.55</v>
      </c>
      <c r="S14" t="str">
        <v>CPMK-1</v>
      </c>
      <c r="T14">
        <v>13</v>
      </c>
      <c r="U14">
        <v>80.5</v>
      </c>
      <c r="V14" t="str">
        <v>Tercapai</v>
      </c>
    </row>
    <row r="15">
      <c r="A15">
        <v>14</v>
      </c>
      <c r="B15">
        <v>99000000014</v>
      </c>
      <c r="C15" t="str">
        <v>Mahasiswa Uji 014</v>
      </c>
      <c r="D15">
        <v>64.31</v>
      </c>
      <c r="E15">
        <v>94.33</v>
      </c>
      <c r="F15">
        <v>64.05</v>
      </c>
      <c r="G15">
        <v>95.9</v>
      </c>
      <c r="H15">
        <v>83.93</v>
      </c>
      <c r="I15">
        <v>92.68</v>
      </c>
      <c r="J15">
        <v>77.39</v>
      </c>
      <c r="K15">
        <v>75.64</v>
      </c>
      <c r="L15">
        <f>IFERROR(SUMPRODUCT($D15:$K15,$T$2:$AA$2,INDEX($T$3:$AA$7,MATCH(L$1,$S$3:$S$7,0),0))/SUMPRODUCT($T$2:$AA$2,INDEX($T$3:$AA$7,MATCH(L$1,$S$3:$S$7,0),0)),"")</f>
        <v>83.22</v>
      </c>
      <c r="M15">
        <f>IFERROR(SUMPRODUCT($D15:$K15,$T$2:$AA$2,INDEX($T$3:$AA$7,MATCH(M$1,$S$3:$S$7,0),0))/SUMPRODUCT($T$2:$AA$2,INDEX($T$3:$AA$7,MATCH(M$1,$S$3:$S$7,0),0)),"")</f>
        <v>83.22</v>
      </c>
      <c r="N15">
        <f>IFERROR(SUMPRODUCT($D15:$K15,$T$2:$AA$2,INDEX($T$3:$AA$7,MATCH(N$1,$S$3:$S$7,0),0))/SUMPRODUCT($T$2:$AA$2,INDEX($T$3:$AA$7,MATCH(N$1,$S$3:$S$7,0),0)),"")</f>
        <v>83.22</v>
      </c>
      <c r="O15">
        <f>IFERROR(SUMPRODUCT($D15:$K15,$T$2:$AA$2,INDEX($T$3:$AA$7,MATCH(O$1,$S$3:$S$7,0),0))/SUMPRODUCT($T$2:$AA$2,INDEX($T$3:$AA$7,MATCH(O$1,$S$3:$S$7,0),0)),"")</f>
        <v>83.22</v>
      </c>
      <c r="P15">
        <f>IFERROR(SUMPRODUCT($D15:$K15,$T$2:$AA$2,INDEX($T$3:$AA$7,MATCH(P$1,$S$3:$S$7,0),0))/SUMPRODUCT($T$2:$AA$2,INDEX($T$3:$AA$7,MATCH(P$1,$S$3:$S$7,0),0)),"")</f>
        <v>83.22</v>
      </c>
      <c r="Q15">
        <f>((L15*$T$22)+(M15*$U$22)+(N15*$V$22)+(O15*$W$22)+(P15*$X$22))/$Y$22</f>
        <v>83.22</v>
      </c>
      <c r="S15" t="str">
        <v>CPMK-2</v>
      </c>
      <c r="T15">
        <v>13</v>
      </c>
      <c r="U15">
        <v>80.5</v>
      </c>
      <c r="V15" t="str">
        <v>Tercapai</v>
      </c>
    </row>
    <row r="16">
      <c r="A16">
        <v>15</v>
      </c>
      <c r="B16">
        <v>99000000015</v>
      </c>
      <c r="C16" t="str">
        <v>Mahasiswa Uji 015</v>
      </c>
      <c r="D16">
        <v>81.23</v>
      </c>
      <c r="E16">
        <v>71.95</v>
      </c>
      <c r="F16">
        <v>80.77</v>
      </c>
      <c r="G16">
        <v>63.33</v>
      </c>
      <c r="H16">
        <v>77.28</v>
      </c>
      <c r="I16">
        <v>88.58</v>
      </c>
      <c r="J16">
        <v>78.81</v>
      </c>
      <c r="K16">
        <v>83.47</v>
      </c>
      <c r="L16">
        <f>IFERROR(SUMPRODUCT($D16:$K16,$T$2:$AA$2,INDEX($T$3:$AA$7,MATCH(L$1,$S$3:$S$7,0),0))/SUMPRODUCT($T$2:$AA$2,INDEX($T$3:$AA$7,MATCH(L$1,$S$3:$S$7,0),0)),"")</f>
        <v>77.83</v>
      </c>
      <c r="M16">
        <f>IFERROR(SUMPRODUCT($D16:$K16,$T$2:$AA$2,INDEX($T$3:$AA$7,MATCH(M$1,$S$3:$S$7,0),0))/SUMPRODUCT($T$2:$AA$2,INDEX($T$3:$AA$7,MATCH(M$1,$S$3:$S$7,0),0)),"")</f>
        <v>77.83</v>
      </c>
      <c r="N16">
        <f>IFERROR(SUMPRODUCT($D16:$K16,$T$2:$AA$2,INDEX($T$3:$AA$7,MATCH(N$1,$S$3:$S$7,0),0))/SUMPRODUCT($T$2:$AA$2,INDEX($T$3:$AA$7,MATCH(N$1,$S$3:$S$7,0),0)),"")</f>
        <v>77.83</v>
      </c>
      <c r="O16">
        <f>IFERROR(SUMPRODUCT($D16:$K16,$T$2:$AA$2,INDEX($T$3:$AA$7,MATCH(O$1,$S$3:$S$7,0),0))/SUMPRODUCT($T$2:$AA$2,INDEX($T$3:$AA$7,MATCH(O$1,$S$3:$S$7,0),0)),"")</f>
        <v>77.83</v>
      </c>
      <c r="P16">
        <f>IFERROR(SUMPRODUCT($D16:$K16,$T$2:$AA$2,INDEX($T$3:$AA$7,MATCH(P$1,$S$3:$S$7,0),0))/SUMPRODUCT($T$2:$AA$2,INDEX($T$3:$AA$7,MATCH(P$1,$S$3:$S$7,0),0)),"")</f>
        <v>77.83</v>
      </c>
      <c r="Q16">
        <f>((L16*$T$22)+(M16*$U$22)+(N16*$V$22)+(O16*$W$22)+(P16*$X$22))/$Y$22</f>
        <v>77.83</v>
      </c>
      <c r="S16" t="str">
        <v>CPMK-3</v>
      </c>
      <c r="T16">
        <v>13</v>
      </c>
      <c r="U16">
        <v>80.5</v>
      </c>
      <c r="V16" t="str">
        <v>Tercapai</v>
      </c>
    </row>
    <row r="17">
      <c r="S17" t="str">
        <v>CPMK-4</v>
      </c>
      <c r="T17">
        <v>13</v>
      </c>
      <c r="U17">
        <v>80.5</v>
      </c>
      <c r="V17" t="str">
        <v>Tercapai</v>
      </c>
    </row>
    <row r="18">
      <c r="S18" t="str">
        <v>CPMK-5</v>
      </c>
      <c r="T18">
        <v>13</v>
      </c>
      <c r="U18">
        <v>80.5</v>
      </c>
      <c r="V18" t="str">
        <v>Tercapai</v>
      </c>
    </row>
    <row r="21">
      <c r="S21" t="str">
        <v>CPL \ CPMK</v>
      </c>
      <c r="T21" t="str">
        <v>CPMK-1</v>
      </c>
      <c r="U21" t="str">
        <v>CPMK-2</v>
      </c>
      <c r="V21" t="str">
        <v>CPMK-3</v>
      </c>
      <c r="W21" t="str">
        <v>CPMK-4</v>
      </c>
      <c r="X21" t="str">
        <v>CPMK-5</v>
      </c>
      <c r="Y21" t="str">
        <v>Total</v>
      </c>
    </row>
    <row r="22">
      <c r="S22" t="str">
        <v>CPL 1</v>
      </c>
      <c r="T22">
        <v>0.2</v>
      </c>
      <c r="U22">
        <v>0.2</v>
      </c>
      <c r="V22">
        <v>0.2</v>
      </c>
      <c r="W22">
        <v>0.2</v>
      </c>
      <c r="X22">
        <v>0.2</v>
      </c>
      <c r="Y22">
        <v>1</v>
      </c>
    </row>
  </sheetData>
  <mergeCells count="1">
    <mergeCell ref="Z2:Z7"/>
  </mergeCells>
  <ignoredErrors>
    <ignoredError numberStoredAsText="1" sqref="A1:A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 Kuliah Uji C 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