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MK_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No</v>
      </c>
      <c r="B1" t="str">
        <v>NIM</v>
      </c>
      <c r="C1" t="str">
        <v>Nama</v>
      </c>
      <c r="D1" t="str">
        <v># Komponen Lain # Keaktifan (10%)</v>
      </c>
      <c r="E1" t="str">
        <v>UTS (Midterm) # Komponen Lain # Tugas (20%)</v>
      </c>
      <c r="F1" t="str">
        <v>UAS (Finalterm) # Komponen Lain # Tugas (20%)</v>
      </c>
      <c r="G1" t="str">
        <v>UTS (Midterm) # Case Based # Studi Kasus (25%)</v>
      </c>
      <c r="H1" t="str">
        <v>UAS (Finalterm) # Case Based # Studi Kasus (25%)</v>
      </c>
      <c r="K1" t="str">
        <v>CPMK-1</v>
      </c>
      <c r="L1" t="str">
        <v>CPMK-2</v>
      </c>
      <c r="M1" t="str">
        <v>CPMK-3</v>
      </c>
      <c r="N1" t="str">
        <v>CPMK-4</v>
      </c>
      <c r="O1" t="str">
        <v>CPMK-5</v>
      </c>
      <c r="P1" t="str">
        <v>CPL 3</v>
      </c>
      <c r="Q1" t="str">
        <v>CPL 5</v>
      </c>
      <c r="S1" t="str">
        <v>CPMK</v>
      </c>
      <c r="T1" t="str">
        <v># Komponen Lain # Keaktifan (10%)</v>
      </c>
      <c r="U1" t="str">
        <v>UTS (Midterm) # Komponen Lain # Tugas (20%)</v>
      </c>
      <c r="V1" t="str">
        <v>UAS (Finalterm) # Komponen Lain # Tugas (20%)</v>
      </c>
      <c r="W1" t="str">
        <v>UTS (Midterm) # Case Based # Studi Kasus (25%)</v>
      </c>
      <c r="X1" t="str">
        <v>UAS (Finalterm) # Case Based # Studi Kasus (25%)</v>
      </c>
    </row>
    <row r="2">
      <c r="A2">
        <v>1</v>
      </c>
      <c r="B2">
        <v>99000000201</v>
      </c>
      <c r="C2" t="str">
        <v>Mahasiswa Uji 201</v>
      </c>
      <c r="D2">
        <v>97.27</v>
      </c>
      <c r="E2">
        <v>92.14</v>
      </c>
      <c r="F2">
        <v>73.88</v>
      </c>
      <c r="G2">
        <v>80.45</v>
      </c>
      <c r="H2">
        <v>74.31</v>
      </c>
      <c r="I2">
        <v>0</v>
      </c>
      <c r="K2">
        <f>SUMPRODUCT($D2:$H2,$S$2:$W$2)</f>
        <v>81.62</v>
      </c>
      <c r="L2">
        <f>SUMPRODUCT($D2:$H2,$S$2:$W$2)</f>
        <v>81.62</v>
      </c>
      <c r="M2">
        <f>SUMPRODUCT($D2:$H2,$S$2:$W$2)</f>
        <v>81.62</v>
      </c>
      <c r="N2">
        <f>SUMPRODUCT($D2:$H2,$S$2:$W$2)</f>
        <v>81.62</v>
      </c>
      <c r="O2">
        <f>SUMPRODUCT($D2:$H2,$S$2:$W$2)</f>
        <v>81.62</v>
      </c>
      <c r="P2">
        <f>SUMPRODUCT($D2:$H2,$S$2:$W$2)</f>
        <v>81.62</v>
      </c>
      <c r="Q2">
        <f>SUMPRODUCT($D2:$H2,$S$2:$W$2)</f>
        <v>81.62</v>
      </c>
      <c r="T2">
        <v>0.1</v>
      </c>
      <c r="U2">
        <v>0.2</v>
      </c>
      <c r="V2">
        <v>0.2</v>
      </c>
      <c r="W2">
        <v>0.25</v>
      </c>
      <c r="X2">
        <v>0.25</v>
      </c>
    </row>
    <row r="3">
      <c r="A3">
        <v>2</v>
      </c>
      <c r="B3">
        <v>99000000202</v>
      </c>
      <c r="C3" t="str">
        <v>Mahasiswa Uji 202</v>
      </c>
      <c r="D3">
        <v>86.23</v>
      </c>
      <c r="E3">
        <v>72.76</v>
      </c>
      <c r="F3">
        <v>74.34</v>
      </c>
      <c r="G3">
        <v>66.93</v>
      </c>
      <c r="H3">
        <v>78.57</v>
      </c>
      <c r="I3">
        <v>0</v>
      </c>
      <c r="K3">
        <f>SUMPRODUCT($D3:$H3,$S$2:$W$2)</f>
        <v>74.42</v>
      </c>
      <c r="L3">
        <f>SUMPRODUCT($D3:$H3,$S$2:$W$2)</f>
        <v>74.42</v>
      </c>
      <c r="M3">
        <f>SUMPRODUCT($D3:$H3,$S$2:$W$2)</f>
        <v>74.42</v>
      </c>
      <c r="N3">
        <f>SUMPRODUCT($D3:$H3,$S$2:$W$2)</f>
        <v>74.42</v>
      </c>
      <c r="O3">
        <f>SUMPRODUCT($D3:$H3,$S$2:$W$2)</f>
        <v>74.42</v>
      </c>
      <c r="P3">
        <f>SUMPRODUCT($D3:$H3,$S$2:$W$2)</f>
        <v>74.42</v>
      </c>
      <c r="Q3">
        <f>SUMPRODUCT($D3:$H3,$S$2:$W$2)</f>
        <v>74.42</v>
      </c>
      <c r="S3" t="str">
        <v>CPMK-1</v>
      </c>
      <c r="T3">
        <v>1</v>
      </c>
      <c r="U3">
        <v>1</v>
      </c>
      <c r="V3">
        <v>1</v>
      </c>
      <c r="W3">
        <v>1</v>
      </c>
      <c r="X3">
        <v>1</v>
      </c>
    </row>
    <row r="4">
      <c r="A4">
        <v>3</v>
      </c>
      <c r="B4">
        <v>99000000203</v>
      </c>
      <c r="C4" t="str">
        <v>Mahasiswa Uji 203</v>
      </c>
      <c r="D4">
        <v>83.28</v>
      </c>
      <c r="E4">
        <v>79.79</v>
      </c>
      <c r="F4">
        <v>86.66</v>
      </c>
      <c r="G4">
        <v>79.78</v>
      </c>
      <c r="H4">
        <v>69.03</v>
      </c>
      <c r="I4">
        <v>0</v>
      </c>
      <c r="K4">
        <f>SUMPRODUCT($D4:$H4,$S$2:$W$2)</f>
        <v>78.82</v>
      </c>
      <c r="L4">
        <f>SUMPRODUCT($D4:$H4,$S$2:$W$2)</f>
        <v>78.82</v>
      </c>
      <c r="M4">
        <f>SUMPRODUCT($D4:$H4,$S$2:$W$2)</f>
        <v>78.82</v>
      </c>
      <c r="N4">
        <f>SUMPRODUCT($D4:$H4,$S$2:$W$2)</f>
        <v>78.82</v>
      </c>
      <c r="O4">
        <f>SUMPRODUCT($D4:$H4,$S$2:$W$2)</f>
        <v>78.82</v>
      </c>
      <c r="P4">
        <f>SUMPRODUCT($D4:$H4,$S$2:$W$2)</f>
        <v>78.82</v>
      </c>
      <c r="Q4">
        <f>SUMPRODUCT($D4:$H4,$S$2:$W$2)</f>
        <v>78.82</v>
      </c>
      <c r="S4" t="str">
        <v>CPMK-2</v>
      </c>
      <c r="T4">
        <v>1</v>
      </c>
      <c r="U4">
        <v>1</v>
      </c>
      <c r="V4">
        <v>1</v>
      </c>
      <c r="W4">
        <v>1</v>
      </c>
      <c r="X4">
        <v>1</v>
      </c>
    </row>
    <row r="5">
      <c r="A5">
        <v>4</v>
      </c>
      <c r="B5">
        <v>99000000204</v>
      </c>
      <c r="C5" t="str">
        <v>Mahasiswa Uji 204</v>
      </c>
      <c r="D5">
        <v>97.33</v>
      </c>
      <c r="E5">
        <v>60.64</v>
      </c>
      <c r="F5">
        <v>81.81</v>
      </c>
      <c r="G5">
        <v>83.09</v>
      </c>
      <c r="H5">
        <v>78.14</v>
      </c>
      <c r="I5">
        <v>0</v>
      </c>
      <c r="K5">
        <f>SUMPRODUCT($D5:$H5,$S$2:$W$2)</f>
        <v>78.53</v>
      </c>
      <c r="L5">
        <f>SUMPRODUCT($D5:$H5,$S$2:$W$2)</f>
        <v>78.53</v>
      </c>
      <c r="M5">
        <f>SUMPRODUCT($D5:$H5,$S$2:$W$2)</f>
        <v>78.53</v>
      </c>
      <c r="N5">
        <f>SUMPRODUCT($D5:$H5,$S$2:$W$2)</f>
        <v>78.53</v>
      </c>
      <c r="O5">
        <f>SUMPRODUCT($D5:$H5,$S$2:$W$2)</f>
        <v>78.53</v>
      </c>
      <c r="P5">
        <f>SUMPRODUCT($D5:$H5,$S$2:$W$2)</f>
        <v>78.53</v>
      </c>
      <c r="Q5">
        <f>SUMPRODUCT($D5:$H5,$S$2:$W$2)</f>
        <v>78.53</v>
      </c>
      <c r="S5" t="str">
        <v>CPMK-3</v>
      </c>
      <c r="T5">
        <v>1</v>
      </c>
      <c r="U5">
        <v>1</v>
      </c>
      <c r="V5">
        <v>1</v>
      </c>
      <c r="W5">
        <v>1</v>
      </c>
      <c r="X5">
        <v>1</v>
      </c>
    </row>
    <row r="6">
      <c r="A6">
        <v>5</v>
      </c>
      <c r="B6">
        <v>99000000205</v>
      </c>
      <c r="C6" t="str">
        <v>Mahasiswa Uji 205</v>
      </c>
      <c r="D6">
        <v>75.71</v>
      </c>
      <c r="E6">
        <v>89.13</v>
      </c>
      <c r="F6">
        <v>77.76</v>
      </c>
      <c r="G6">
        <v>98.17</v>
      </c>
      <c r="H6">
        <v>70.57</v>
      </c>
      <c r="I6">
        <v>0</v>
      </c>
      <c r="K6">
        <f>SUMPRODUCT($D6:$H6,$S$2:$W$2)</f>
        <v>83.13</v>
      </c>
      <c r="L6">
        <f>SUMPRODUCT($D6:$H6,$S$2:$W$2)</f>
        <v>83.13</v>
      </c>
      <c r="M6">
        <f>SUMPRODUCT($D6:$H6,$S$2:$W$2)</f>
        <v>83.13</v>
      </c>
      <c r="N6">
        <f>SUMPRODUCT($D6:$H6,$S$2:$W$2)</f>
        <v>83.13</v>
      </c>
      <c r="O6">
        <f>SUMPRODUCT($D6:$H6,$S$2:$W$2)</f>
        <v>83.13</v>
      </c>
      <c r="P6">
        <f>SUMPRODUCT($D6:$H6,$S$2:$W$2)</f>
        <v>83.13</v>
      </c>
      <c r="Q6">
        <f>SUMPRODUCT($D6:$H6,$S$2:$W$2)</f>
        <v>83.13</v>
      </c>
      <c r="S6" t="str">
        <v>CPMK-4</v>
      </c>
      <c r="T6">
        <v>1</v>
      </c>
      <c r="U6">
        <v>1</v>
      </c>
      <c r="V6">
        <v>1</v>
      </c>
      <c r="W6">
        <v>1</v>
      </c>
      <c r="X6">
        <v>1</v>
      </c>
    </row>
    <row r="7">
      <c r="A7">
        <v>6</v>
      </c>
      <c r="B7">
        <v>99000000206</v>
      </c>
      <c r="C7" t="str">
        <v>Mahasiswa Uji 206</v>
      </c>
      <c r="D7">
        <v>71.97</v>
      </c>
      <c r="E7">
        <v>89.96</v>
      </c>
      <c r="F7">
        <v>79.79</v>
      </c>
      <c r="G7">
        <v>61.92</v>
      </c>
      <c r="H7">
        <v>61.89</v>
      </c>
      <c r="I7">
        <v>0</v>
      </c>
      <c r="K7">
        <f>SUMPRODUCT($D7:$H7,$S$2:$W$2)</f>
        <v>72.1</v>
      </c>
      <c r="L7">
        <f>SUMPRODUCT($D7:$H7,$S$2:$W$2)</f>
        <v>72.1</v>
      </c>
      <c r="M7">
        <f>SUMPRODUCT($D7:$H7,$S$2:$W$2)</f>
        <v>72.1</v>
      </c>
      <c r="N7">
        <f>SUMPRODUCT($D7:$H7,$S$2:$W$2)</f>
        <v>72.1</v>
      </c>
      <c r="O7">
        <f>SUMPRODUCT($D7:$H7,$S$2:$W$2)</f>
        <v>72.1</v>
      </c>
      <c r="P7">
        <f>SUMPRODUCT($D7:$H7,$S$2:$W$2)</f>
        <v>72.1</v>
      </c>
      <c r="Q7">
        <f>SUMPRODUCT($D7:$H7,$S$2:$W$2)</f>
        <v>72.1</v>
      </c>
      <c r="S7" t="str">
        <v>CPMK-5</v>
      </c>
      <c r="T7">
        <v>1</v>
      </c>
      <c r="U7">
        <v>1</v>
      </c>
      <c r="V7">
        <v>1</v>
      </c>
      <c r="W7">
        <v>1</v>
      </c>
      <c r="X7">
        <v>1</v>
      </c>
    </row>
    <row r="8">
      <c r="A8">
        <v>7</v>
      </c>
      <c r="B8">
        <v>99000000207</v>
      </c>
      <c r="C8" t="str">
        <v>Mahasiswa Uji 207</v>
      </c>
      <c r="D8">
        <v>81.27</v>
      </c>
      <c r="E8">
        <v>88.49</v>
      </c>
      <c r="F8">
        <v>89.21</v>
      </c>
      <c r="G8">
        <v>99.68</v>
      </c>
      <c r="H8">
        <v>85.22</v>
      </c>
      <c r="I8">
        <v>0</v>
      </c>
      <c r="K8">
        <f>SUMPRODUCT($D8:$H8,$S$2:$W$2)</f>
        <v>89.89</v>
      </c>
      <c r="L8">
        <f>SUMPRODUCT($D8:$H8,$S$2:$W$2)</f>
        <v>89.89</v>
      </c>
      <c r="M8">
        <f>SUMPRODUCT($D8:$H8,$S$2:$W$2)</f>
        <v>89.89</v>
      </c>
      <c r="N8">
        <f>SUMPRODUCT($D8:$H8,$S$2:$W$2)</f>
        <v>89.89</v>
      </c>
      <c r="O8">
        <f>SUMPRODUCT($D8:$H8,$S$2:$W$2)</f>
        <v>89.89</v>
      </c>
      <c r="P8">
        <f>SUMPRODUCT($D8:$H8,$S$2:$W$2)</f>
        <v>89.89</v>
      </c>
      <c r="Q8">
        <f>SUMPRODUCT($D8:$H8,$S$2:$W$2)</f>
        <v>89.89</v>
      </c>
    </row>
    <row r="9">
      <c r="A9">
        <v>8</v>
      </c>
      <c r="B9">
        <v>99000000208</v>
      </c>
      <c r="C9" t="str">
        <v>Mahasiswa Uji 208</v>
      </c>
      <c r="D9">
        <v>76.13</v>
      </c>
      <c r="E9">
        <v>69.74</v>
      </c>
      <c r="F9">
        <v>79.5</v>
      </c>
      <c r="G9">
        <v>97.57</v>
      </c>
      <c r="H9">
        <v>95.7</v>
      </c>
      <c r="I9">
        <v>0</v>
      </c>
      <c r="K9">
        <f>SUMPRODUCT($D9:$H9,$S$2:$W$2)</f>
        <v>85.78</v>
      </c>
      <c r="L9">
        <f>SUMPRODUCT($D9:$H9,$S$2:$W$2)</f>
        <v>85.78</v>
      </c>
      <c r="M9">
        <f>SUMPRODUCT($D9:$H9,$S$2:$W$2)</f>
        <v>85.78</v>
      </c>
      <c r="N9">
        <f>SUMPRODUCT($D9:$H9,$S$2:$W$2)</f>
        <v>85.78</v>
      </c>
      <c r="O9">
        <f>SUMPRODUCT($D9:$H9,$S$2:$W$2)</f>
        <v>85.78</v>
      </c>
      <c r="P9">
        <f>SUMPRODUCT($D9:$H9,$S$2:$W$2)</f>
        <v>85.78</v>
      </c>
      <c r="Q9">
        <f>SUMPRODUCT($D9:$H9,$S$2:$W$2)</f>
        <v>85.78</v>
      </c>
      <c r="S9" t="str">
        <v>Threshold Nilai Mahasiswa</v>
      </c>
      <c r="T9">
        <v>62</v>
      </c>
    </row>
    <row r="10">
      <c r="A10">
        <v>9</v>
      </c>
      <c r="B10">
        <v>99000000209</v>
      </c>
      <c r="C10" t="str">
        <v>Mahasiswa Uji 209</v>
      </c>
      <c r="D10">
        <v>65.66</v>
      </c>
      <c r="E10">
        <v>62.39</v>
      </c>
      <c r="F10">
        <v>66.83</v>
      </c>
      <c r="G10">
        <v>95.09</v>
      </c>
      <c r="H10">
        <v>92.93</v>
      </c>
      <c r="I10">
        <v>0</v>
      </c>
      <c r="K10">
        <f>SUMPRODUCT($D10:$H10,$S$2:$W$2)</f>
        <v>79.42</v>
      </c>
      <c r="L10">
        <f>SUMPRODUCT($D10:$H10,$S$2:$W$2)</f>
        <v>79.42</v>
      </c>
      <c r="M10">
        <f>SUMPRODUCT($D10:$H10,$S$2:$W$2)</f>
        <v>79.42</v>
      </c>
      <c r="N10">
        <f>SUMPRODUCT($D10:$H10,$S$2:$W$2)</f>
        <v>79.42</v>
      </c>
      <c r="O10">
        <f>SUMPRODUCT($D10:$H10,$S$2:$W$2)</f>
        <v>79.42</v>
      </c>
      <c r="P10">
        <f>SUMPRODUCT($D10:$H10,$S$2:$W$2)</f>
        <v>79.42</v>
      </c>
      <c r="Q10">
        <f>SUMPRODUCT($D10:$H10,$S$2:$W$2)</f>
        <v>79.42</v>
      </c>
    </row>
    <row r="11">
      <c r="A11">
        <v>10</v>
      </c>
      <c r="B11">
        <v>99000000210</v>
      </c>
      <c r="C11" t="str">
        <v>Mahasiswa Uji 210</v>
      </c>
      <c r="D11">
        <v>78.49</v>
      </c>
      <c r="E11">
        <v>97.26</v>
      </c>
      <c r="F11">
        <v>92.45</v>
      </c>
      <c r="G11">
        <v>98.45</v>
      </c>
      <c r="H11">
        <v>63.59</v>
      </c>
      <c r="I11">
        <v>0</v>
      </c>
      <c r="K11">
        <f>SUMPRODUCT($D11:$H11,$S$2:$W$2)</f>
        <v>86.3</v>
      </c>
      <c r="L11">
        <f>SUMPRODUCT($D11:$H11,$S$2:$W$2)</f>
        <v>86.3</v>
      </c>
      <c r="M11">
        <f>SUMPRODUCT($D11:$H11,$S$2:$W$2)</f>
        <v>86.3</v>
      </c>
      <c r="N11">
        <f>SUMPRODUCT($D11:$H11,$S$2:$W$2)</f>
        <v>86.3</v>
      </c>
      <c r="O11">
        <f>SUMPRODUCT($D11:$H11,$S$2:$W$2)</f>
        <v>86.3</v>
      </c>
      <c r="P11">
        <f>SUMPRODUCT($D11:$H11,$S$2:$W$2)</f>
        <v>86.3</v>
      </c>
      <c r="Q11">
        <f>SUMPRODUCT($D11:$H11,$S$2:$W$2)</f>
        <v>86.3</v>
      </c>
    </row>
    <row r="12">
      <c r="A12">
        <v>11</v>
      </c>
      <c r="B12">
        <v>99000000211</v>
      </c>
      <c r="C12" t="str">
        <v>Mahasiswa Uji 211</v>
      </c>
      <c r="D12">
        <v>80.83</v>
      </c>
      <c r="E12">
        <v>74.93</v>
      </c>
      <c r="F12">
        <v>85.51</v>
      </c>
      <c r="G12">
        <v>88.84</v>
      </c>
      <c r="H12">
        <v>83.64</v>
      </c>
      <c r="I12">
        <v>0</v>
      </c>
      <c r="K12">
        <f>SUMPRODUCT($D12:$H12,$S$2:$W$2)</f>
        <v>83.29</v>
      </c>
      <c r="L12">
        <f>SUMPRODUCT($D12:$H12,$S$2:$W$2)</f>
        <v>83.29</v>
      </c>
      <c r="M12">
        <f>SUMPRODUCT($D12:$H12,$S$2:$W$2)</f>
        <v>83.29</v>
      </c>
      <c r="N12">
        <f>SUMPRODUCT($D12:$H12,$S$2:$W$2)</f>
        <v>83.29</v>
      </c>
      <c r="O12">
        <f>SUMPRODUCT($D12:$H12,$S$2:$W$2)</f>
        <v>83.29</v>
      </c>
      <c r="P12">
        <f>SUMPRODUCT($D12:$H12,$S$2:$W$2)</f>
        <v>83.29</v>
      </c>
      <c r="Q12">
        <f>SUMPRODUCT($D12:$H12,$S$2:$W$2)</f>
        <v>83.29</v>
      </c>
    </row>
    <row r="13">
      <c r="A13">
        <v>12</v>
      </c>
      <c r="B13">
        <v>99000000212</v>
      </c>
      <c r="C13" t="str">
        <v>Mahasiswa Uji 212</v>
      </c>
      <c r="D13">
        <v>85.46</v>
      </c>
      <c r="E13">
        <v>96.41</v>
      </c>
      <c r="F13">
        <v>83.42</v>
      </c>
      <c r="G13">
        <v>96.58</v>
      </c>
      <c r="H13">
        <v>99.53</v>
      </c>
      <c r="I13">
        <v>0</v>
      </c>
      <c r="K13">
        <f>SUMPRODUCT($D13:$H13,$S$2:$W$2)</f>
        <v>93.54</v>
      </c>
      <c r="L13">
        <f>SUMPRODUCT($D13:$H13,$S$2:$W$2)</f>
        <v>93.54</v>
      </c>
      <c r="M13">
        <f>SUMPRODUCT($D13:$H13,$S$2:$W$2)</f>
        <v>93.54</v>
      </c>
      <c r="N13">
        <f>SUMPRODUCT($D13:$H13,$S$2:$W$2)</f>
        <v>93.54</v>
      </c>
      <c r="O13">
        <f>SUMPRODUCT($D13:$H13,$S$2:$W$2)</f>
        <v>93.54</v>
      </c>
      <c r="P13">
        <f>SUMPRODUCT($D13:$H13,$S$2:$W$2)</f>
        <v>93.54</v>
      </c>
      <c r="Q13">
        <f>SUMPRODUCT($D13:$H13,$S$2:$W$2)</f>
        <v>93.54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CPMK_T1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